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Sheet1!$A$1:$K$29</definedName>
  </definedNames>
  <calcPr/>
</workbook>
</file>

<file path=xl/sharedStrings.xml><?xml version="1.0" encoding="utf-8"?>
<sst xmlns="http://schemas.openxmlformats.org/spreadsheetml/2006/main" count="95" uniqueCount="48">
  <si>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</si>
  <si>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</si>
  <si>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</si>
  <si>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</si>
  <si>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</si>
  <si>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</si>
  <si>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</si>
  <si>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</si>
  <si>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</si>
  <si>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</si>
  <si>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</si>
  <si>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Arizona State Moneyline Cincinnati @ Arizona State</t>
  </si>
  <si>
    <t>Win</t>
  </si>
  <si>
    <t>ncaab</t>
  </si>
  <si>
    <t>Over 146.5 Total Weber State @ Montana State</t>
  </si>
  <si>
    <t>ncaab_ou</t>
  </si>
  <si>
    <t>Over 144.5 Total UC Irvine @ UC San Diego</t>
  </si>
  <si>
    <t>Loss</t>
  </si>
  <si>
    <t>Alabama A&amp;M Moneyline Alabama A&amp;M @ Texas Southern</t>
  </si>
  <si>
    <t>Over 150.5 Total UC Riverside @ UC Davis</t>
  </si>
  <si>
    <t>Eastern Kentucky Moneyline Eastern Kentucky @ Jacksonville</t>
  </si>
  <si>
    <t>Over 158.5 Total Bowling Green @ Toledo</t>
  </si>
  <si>
    <t>Over 143.5 Total Memphis @ Wichita State</t>
  </si>
  <si>
    <t>Under 139.5 Total Rider @ Mount Saint Marys</t>
  </si>
  <si>
    <t>Under 6.5 Total FLA Panthers @ MIN Wild</t>
  </si>
  <si>
    <t>nhl_ou</t>
  </si>
  <si>
    <t>Under 6.5 Total WAS Capitals @ EDM Oilers</t>
  </si>
  <si>
    <t>CLE Cavaliers Moneyline CLE Cavaliers @ ORL Magic</t>
  </si>
  <si>
    <t>nba</t>
  </si>
  <si>
    <t>UTA Jazz Moneyline MIA Heat @ UTA Jazz</t>
  </si>
  <si>
    <t>Over 227.5 Total CLE Cavaliers @ ORL Magic</t>
  </si>
  <si>
    <t>nba_ou</t>
  </si>
  <si>
    <t>Nicholls State Moneyline Nicholls State @ SE Louisiana</t>
  </si>
  <si>
    <t>Bucknell Moneyline Bucknell @ Loyola Maryland</t>
  </si>
  <si>
    <t>George Mason Moneyline George Mason @ Rhode Island</t>
  </si>
  <si>
    <t>Under 159.5 Total Mercer @ Wofford</t>
  </si>
  <si>
    <t>Over 151.5 Total Milwaukee @ Youngstown State</t>
  </si>
  <si>
    <t>Under 159.5 Total Elon @ Charleston</t>
  </si>
  <si>
    <t>Drake Moneyline Drake @ Indiana State</t>
  </si>
  <si>
    <t>Over 142.5 Total Clemson @ Georgia Tech</t>
  </si>
  <si>
    <t>Over 150.5 Total North Carolina @ Virginia</t>
  </si>
  <si>
    <t>Tottenham Moneyline Burnley vs Tottenham</t>
  </si>
  <si>
    <t>soc</t>
  </si>
  <si>
    <t>Under 3.5 Total Goals Bournemouth vs Liverpool</t>
  </si>
  <si>
    <t>soc_ou</t>
  </si>
  <si>
    <t>Man City Moneyline Man City vs Wolves</t>
  </si>
  <si>
    <t>Liverpool Moneyline Bournemouth vs Liverpool</t>
  </si>
  <si>
    <t>Over 3.5 Total Goals Man City 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</si>
</sst>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0.0"/>
      <color theme="1"/>
      <name val="Calibri"/>
    </font>
    <font>
      <color theme="1"/>
      <name val="Arial"/>
    </font>
    <font>
      <sz val="9.0"/>
      <color rgb="FF1F2328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readingOrder="0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readingOrder="0" shrinkToFit="0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.88"/>
    <col customWidth="1" min="5" max="5" width="8.13"/>
    <col customWidth="1" min="6" max="6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>
        <v>46046.0</v>
      </c>
      <c r="B2" s="4" t="s">
        <v>11</v>
      </c>
      <c r="C2" s="5">
        <v>0.5</v>
      </c>
      <c r="D2" s="5">
        <v>120.0</v>
      </c>
      <c r="E2" s="6">
        <f>+124</f>
        <v>124</v>
      </c>
      <c r="F2" s="4">
        <f t="shared" ref="F2:F29" si="1">E2-D2</f>
        <v>4</v>
      </c>
      <c r="G2" s="6">
        <v>0.1</v>
      </c>
      <c r="H2" s="4" t="s">
        <v>12</v>
      </c>
      <c r="I2" s="4">
        <v>0.22</v>
      </c>
      <c r="J2" s="6">
        <v>0.12</v>
      </c>
      <c r="K2" s="4" t="s">
        <v>13</v>
      </c>
    </row>
    <row r="3">
      <c r="A3" s="3">
        <v>46046.0</v>
      </c>
      <c r="B3" s="4" t="s">
        <v>14</v>
      </c>
      <c r="C3" s="5">
        <v>0.6209</v>
      </c>
      <c r="D3" s="5">
        <v>-123.0</v>
      </c>
      <c r="E3" s="7">
        <v>-105.0</v>
      </c>
      <c r="F3" s="4">
        <f t="shared" si="1"/>
        <v>18</v>
      </c>
      <c r="G3" s="6">
        <v>0.1</v>
      </c>
      <c r="H3" s="4" t="s">
        <v>12</v>
      </c>
      <c r="I3" s="4">
        <v>0.19</v>
      </c>
      <c r="J3" s="6">
        <v>0.09</v>
      </c>
      <c r="K3" s="4" t="s">
        <v>15</v>
      </c>
    </row>
    <row r="4">
      <c r="A4" s="3">
        <v>46046.0</v>
      </c>
      <c r="B4" s="4" t="s">
        <v>16</v>
      </c>
      <c r="C4" s="5">
        <v>0.5817</v>
      </c>
      <c r="D4" s="5">
        <v>-105.0</v>
      </c>
      <c r="E4" s="7">
        <v>-108.0</v>
      </c>
      <c r="F4" s="4">
        <f t="shared" si="1"/>
        <v>-3</v>
      </c>
      <c r="G4" s="6">
        <v>0.1</v>
      </c>
      <c r="H4" s="4" t="s">
        <v>17</v>
      </c>
      <c r="I4" s="4">
        <v>0.0</v>
      </c>
      <c r="J4" s="6">
        <v>-0.1</v>
      </c>
      <c r="K4" s="4" t="s">
        <v>15</v>
      </c>
    </row>
    <row r="5">
      <c r="A5" s="3">
        <v>46046.0</v>
      </c>
      <c r="B5" s="4" t="s">
        <v>18</v>
      </c>
      <c r="C5" s="5">
        <v>0.63</v>
      </c>
      <c r="D5" s="5">
        <v>-120.0</v>
      </c>
      <c r="E5" s="7">
        <v>-115.0</v>
      </c>
      <c r="F5" s="4">
        <f t="shared" si="1"/>
        <v>5</v>
      </c>
      <c r="G5" s="6">
        <v>0.1</v>
      </c>
      <c r="H5" s="4" t="s">
        <v>17</v>
      </c>
      <c r="I5" s="4">
        <v>0.0</v>
      </c>
      <c r="J5" s="6">
        <v>-0.1</v>
      </c>
      <c r="K5" s="4" t="s">
        <v>13</v>
      </c>
    </row>
    <row r="6">
      <c r="A6" s="3">
        <v>46046.0</v>
      </c>
      <c r="B6" s="4" t="s">
        <v>19</v>
      </c>
      <c r="C6" s="5">
        <v>0.5324</v>
      </c>
      <c r="D6" s="5">
        <v>116.0</v>
      </c>
      <c r="E6" s="7">
        <v>-110.0</v>
      </c>
      <c r="F6" s="4">
        <f t="shared" si="1"/>
        <v>-226</v>
      </c>
      <c r="G6" s="6">
        <v>0.1</v>
      </c>
      <c r="H6" s="4" t="s">
        <v>17</v>
      </c>
      <c r="I6" s="4">
        <v>0.0</v>
      </c>
      <c r="J6" s="6">
        <v>-0.1</v>
      </c>
      <c r="K6" s="4" t="s">
        <v>15</v>
      </c>
    </row>
    <row r="7">
      <c r="A7" s="3">
        <v>46046.0</v>
      </c>
      <c r="B7" s="4" t="s">
        <v>20</v>
      </c>
      <c r="C7" s="5">
        <v>0.51</v>
      </c>
      <c r="D7" s="5">
        <v>116.0</v>
      </c>
      <c r="E7" s="6">
        <f>+124</f>
        <v>124</v>
      </c>
      <c r="F7" s="4">
        <f t="shared" si="1"/>
        <v>8</v>
      </c>
      <c r="G7" s="6">
        <v>0.1</v>
      </c>
      <c r="H7" s="4" t="s">
        <v>17</v>
      </c>
      <c r="I7" s="4">
        <v>0.0</v>
      </c>
      <c r="J7" s="6">
        <v>-0.1</v>
      </c>
      <c r="K7" s="4" t="s">
        <v>13</v>
      </c>
    </row>
    <row r="8">
      <c r="A8" s="3">
        <v>46046.0</v>
      </c>
      <c r="B8" s="4" t="s">
        <v>21</v>
      </c>
      <c r="C8" s="5">
        <v>0.6053</v>
      </c>
      <c r="D8" s="5">
        <v>-115.0</v>
      </c>
      <c r="E8" s="7">
        <v>-105.0</v>
      </c>
      <c r="F8" s="4">
        <f t="shared" si="1"/>
        <v>10</v>
      </c>
      <c r="G8" s="6">
        <v>0.1</v>
      </c>
      <c r="H8" s="4" t="s">
        <v>17</v>
      </c>
      <c r="I8" s="4">
        <v>0.0</v>
      </c>
      <c r="J8" s="6">
        <v>-0.1</v>
      </c>
      <c r="K8" s="4" t="s">
        <v>15</v>
      </c>
    </row>
    <row r="9">
      <c r="A9" s="3">
        <v>46046.0</v>
      </c>
      <c r="B9" s="4" t="s">
        <v>22</v>
      </c>
      <c r="C9" s="5">
        <v>0.7037</v>
      </c>
      <c r="D9" s="5">
        <v>-173.0</v>
      </c>
      <c r="E9" s="7">
        <v>-110.0</v>
      </c>
      <c r="F9" s="4">
        <f t="shared" si="1"/>
        <v>63</v>
      </c>
      <c r="G9" s="6">
        <v>0.1</v>
      </c>
      <c r="H9" s="4" t="s">
        <v>17</v>
      </c>
      <c r="I9" s="4">
        <v>0.0</v>
      </c>
      <c r="J9" s="6">
        <v>-0.1</v>
      </c>
      <c r="K9" s="4" t="s">
        <v>15</v>
      </c>
    </row>
    <row r="10">
      <c r="A10" s="3">
        <v>46046.0</v>
      </c>
      <c r="B10" s="4" t="s">
        <v>23</v>
      </c>
      <c r="C10" s="5">
        <v>0.5913</v>
      </c>
      <c r="D10" s="5">
        <v>-109.0</v>
      </c>
      <c r="E10" s="7">
        <v>-110.0</v>
      </c>
      <c r="F10" s="4">
        <f t="shared" si="1"/>
        <v>-1</v>
      </c>
      <c r="G10" s="6">
        <v>0.1</v>
      </c>
      <c r="H10" s="4" t="s">
        <v>12</v>
      </c>
      <c r="I10" s="4">
        <v>0.19</v>
      </c>
      <c r="J10" s="6">
        <v>0.09</v>
      </c>
      <c r="K10" s="4" t="s">
        <v>15</v>
      </c>
    </row>
    <row r="11">
      <c r="A11" s="3">
        <v>46046.0</v>
      </c>
      <c r="B11" s="4" t="s">
        <v>24</v>
      </c>
      <c r="C11" s="5">
        <v>0.6352</v>
      </c>
      <c r="D11" s="5">
        <v>-135.0</v>
      </c>
      <c r="E11" s="7">
        <v>-135.0</v>
      </c>
      <c r="F11" s="4">
        <f t="shared" si="1"/>
        <v>0</v>
      </c>
      <c r="G11" s="6">
        <v>0.1</v>
      </c>
      <c r="H11" s="4" t="s">
        <v>17</v>
      </c>
      <c r="I11" s="4">
        <v>0.0</v>
      </c>
      <c r="J11" s="6">
        <v>-0.1</v>
      </c>
      <c r="K11" s="8" t="s">
        <v>25</v>
      </c>
    </row>
    <row r="12">
      <c r="A12" s="3">
        <v>46046.0</v>
      </c>
      <c r="B12" s="4" t="s">
        <v>26</v>
      </c>
      <c r="C12" s="5">
        <v>0.5678</v>
      </c>
      <c r="D12" s="5">
        <v>-103.0</v>
      </c>
      <c r="E12" s="6">
        <f>+105</f>
        <v>105</v>
      </c>
      <c r="F12" s="4">
        <f t="shared" si="1"/>
        <v>208</v>
      </c>
      <c r="G12" s="6">
        <v>0.1</v>
      </c>
      <c r="H12" s="4" t="s">
        <v>17</v>
      </c>
      <c r="I12" s="4">
        <v>0.0</v>
      </c>
      <c r="J12" s="6">
        <v>-0.1</v>
      </c>
      <c r="K12" s="8" t="s">
        <v>25</v>
      </c>
    </row>
    <row r="13">
      <c r="A13" s="3">
        <v>46046.0</v>
      </c>
      <c r="B13" s="4" t="s">
        <v>27</v>
      </c>
      <c r="C13" s="5">
        <v>0.427</v>
      </c>
      <c r="D13" s="5">
        <v>185.0</v>
      </c>
      <c r="E13" s="6">
        <f>+114</f>
        <v>114</v>
      </c>
      <c r="F13" s="4">
        <f t="shared" si="1"/>
        <v>-71</v>
      </c>
      <c r="G13" s="6">
        <v>0.1</v>
      </c>
      <c r="H13" s="4" t="s">
        <v>12</v>
      </c>
      <c r="I13" s="4">
        <v>0.21000000000000002</v>
      </c>
      <c r="J13" s="6">
        <v>0.11</v>
      </c>
      <c r="K13" s="4" t="s">
        <v>28</v>
      </c>
    </row>
    <row r="14">
      <c r="A14" s="3">
        <v>46046.0</v>
      </c>
      <c r="B14" s="4" t="s">
        <v>29</v>
      </c>
      <c r="C14" s="5">
        <v>0.469</v>
      </c>
      <c r="D14" s="5">
        <v>149.0</v>
      </c>
      <c r="E14" s="6">
        <f>+190</f>
        <v>190</v>
      </c>
      <c r="F14" s="4">
        <f t="shared" si="1"/>
        <v>41</v>
      </c>
      <c r="G14" s="6">
        <v>0.1</v>
      </c>
      <c r="H14" s="4" t="s">
        <v>17</v>
      </c>
      <c r="I14" s="4">
        <v>0.0</v>
      </c>
      <c r="J14" s="6">
        <v>-0.1</v>
      </c>
      <c r="K14" s="4" t="s">
        <v>28</v>
      </c>
    </row>
    <row r="15">
      <c r="A15" s="3">
        <v>46046.0</v>
      </c>
      <c r="B15" s="4" t="s">
        <v>30</v>
      </c>
      <c r="C15" s="5">
        <v>0.5936</v>
      </c>
      <c r="D15" s="5">
        <v>-110.0</v>
      </c>
      <c r="E15" s="7">
        <v>-110.0</v>
      </c>
      <c r="F15" s="4">
        <f t="shared" si="1"/>
        <v>0</v>
      </c>
      <c r="G15" s="6">
        <v>0.1</v>
      </c>
      <c r="H15" s="4" t="s">
        <v>17</v>
      </c>
      <c r="I15" s="4">
        <v>0.0</v>
      </c>
      <c r="J15" s="6">
        <v>-0.1</v>
      </c>
      <c r="K15" s="8" t="s">
        <v>31</v>
      </c>
    </row>
    <row r="16">
      <c r="A16" s="3">
        <v>46046.0</v>
      </c>
      <c r="B16" s="4" t="s">
        <v>32</v>
      </c>
      <c r="C16" s="5">
        <v>0.58</v>
      </c>
      <c r="D16" s="5">
        <v>-111.0</v>
      </c>
      <c r="E16" s="7">
        <v>-102.0</v>
      </c>
      <c r="F16" s="4">
        <f t="shared" si="1"/>
        <v>9</v>
      </c>
      <c r="G16" s="6">
        <v>0.1</v>
      </c>
      <c r="H16" s="4" t="s">
        <v>17</v>
      </c>
      <c r="I16" s="4">
        <v>0.0</v>
      </c>
      <c r="J16" s="6">
        <v>-0.1</v>
      </c>
      <c r="K16" s="4" t="s">
        <v>13</v>
      </c>
    </row>
    <row r="17">
      <c r="A17" s="3">
        <v>46046.0</v>
      </c>
      <c r="B17" s="4" t="s">
        <v>33</v>
      </c>
      <c r="C17" s="5">
        <v>0.55</v>
      </c>
      <c r="D17" s="5">
        <v>100.0</v>
      </c>
      <c r="E17" s="6">
        <f>+102</f>
        <v>102</v>
      </c>
      <c r="F17" s="4">
        <f t="shared" si="1"/>
        <v>2</v>
      </c>
      <c r="G17" s="6">
        <v>0.1</v>
      </c>
      <c r="H17" s="4" t="s">
        <v>17</v>
      </c>
      <c r="I17" s="4">
        <v>0.0</v>
      </c>
      <c r="J17" s="6">
        <v>-0.1</v>
      </c>
      <c r="K17" s="4" t="s">
        <v>13</v>
      </c>
    </row>
    <row r="18">
      <c r="A18" s="3">
        <v>46046.0</v>
      </c>
      <c r="B18" s="4" t="s">
        <v>34</v>
      </c>
      <c r="C18" s="5">
        <v>0.69</v>
      </c>
      <c r="D18" s="5">
        <v>-133.0</v>
      </c>
      <c r="E18" s="7">
        <v>-122.0</v>
      </c>
      <c r="F18" s="4">
        <f t="shared" si="1"/>
        <v>11</v>
      </c>
      <c r="G18" s="6">
        <v>0.1</v>
      </c>
      <c r="H18" s="4" t="s">
        <v>17</v>
      </c>
      <c r="I18" s="4">
        <v>0.0</v>
      </c>
      <c r="J18" s="6">
        <v>-0.1</v>
      </c>
      <c r="K18" s="4" t="s">
        <v>13</v>
      </c>
    </row>
    <row r="19">
      <c r="A19" s="3">
        <v>46046.0</v>
      </c>
      <c r="B19" s="4" t="s">
        <v>35</v>
      </c>
      <c r="C19" s="5">
        <v>0.5854</v>
      </c>
      <c r="D19" s="5">
        <v>-106.0</v>
      </c>
      <c r="E19" s="7">
        <v>-113.0</v>
      </c>
      <c r="F19" s="4">
        <f t="shared" si="1"/>
        <v>-7</v>
      </c>
      <c r="G19" s="6">
        <v>0.1</v>
      </c>
      <c r="H19" s="4" t="s">
        <v>12</v>
      </c>
      <c r="I19" s="4">
        <v>0.18</v>
      </c>
      <c r="J19" s="6">
        <v>0.08</v>
      </c>
      <c r="K19" s="4" t="s">
        <v>15</v>
      </c>
    </row>
    <row r="20">
      <c r="A20" s="3">
        <v>46046.0</v>
      </c>
      <c r="B20" s="4" t="s">
        <v>36</v>
      </c>
      <c r="C20" s="5">
        <v>0.6012</v>
      </c>
      <c r="D20" s="5">
        <v>-113.0</v>
      </c>
      <c r="E20" s="7">
        <v>-113.0</v>
      </c>
      <c r="F20" s="4">
        <f t="shared" si="1"/>
        <v>0</v>
      </c>
      <c r="G20" s="6">
        <v>0.1</v>
      </c>
      <c r="H20" s="4" t="s">
        <v>17</v>
      </c>
      <c r="I20" s="4">
        <v>0.0</v>
      </c>
      <c r="J20" s="6">
        <v>-0.1</v>
      </c>
      <c r="K20" s="4" t="s">
        <v>15</v>
      </c>
    </row>
    <row r="21">
      <c r="A21" s="3">
        <v>46046.0</v>
      </c>
      <c r="B21" s="4" t="s">
        <v>37</v>
      </c>
      <c r="C21" s="5">
        <v>0.5885</v>
      </c>
      <c r="D21" s="5">
        <v>-108.0</v>
      </c>
      <c r="E21" s="7">
        <v>-108.0</v>
      </c>
      <c r="F21" s="4">
        <f t="shared" si="1"/>
        <v>0</v>
      </c>
      <c r="G21" s="6">
        <v>0.1</v>
      </c>
      <c r="H21" s="4" t="s">
        <v>12</v>
      </c>
      <c r="I21" s="4">
        <v>0.19</v>
      </c>
      <c r="J21" s="6">
        <v>0.09</v>
      </c>
      <c r="K21" s="4" t="s">
        <v>15</v>
      </c>
    </row>
    <row r="22">
      <c r="A22" s="3">
        <v>46046.0</v>
      </c>
      <c r="B22" s="4" t="s">
        <v>38</v>
      </c>
      <c r="C22" s="5">
        <v>0.52</v>
      </c>
      <c r="D22" s="5">
        <v>112.0</v>
      </c>
      <c r="E22" s="6">
        <f>+124</f>
        <v>124</v>
      </c>
      <c r="F22" s="4">
        <f t="shared" si="1"/>
        <v>12</v>
      </c>
      <c r="G22" s="6">
        <v>0.1</v>
      </c>
      <c r="H22" s="4" t="s">
        <v>12</v>
      </c>
      <c r="I22" s="4">
        <v>0.22</v>
      </c>
      <c r="J22" s="6">
        <v>0.12</v>
      </c>
      <c r="K22" s="4" t="s">
        <v>13</v>
      </c>
    </row>
    <row r="23">
      <c r="A23" s="3">
        <v>46046.0</v>
      </c>
      <c r="B23" s="4" t="s">
        <v>39</v>
      </c>
      <c r="C23" s="5">
        <v>0.5982</v>
      </c>
      <c r="D23" s="5">
        <v>-112.0</v>
      </c>
      <c r="E23" s="7">
        <v>-113.0</v>
      </c>
      <c r="F23" s="4">
        <f t="shared" si="1"/>
        <v>-1</v>
      </c>
      <c r="G23" s="6">
        <v>0.1</v>
      </c>
      <c r="H23" s="4" t="s">
        <v>17</v>
      </c>
      <c r="I23" s="4">
        <v>0.0</v>
      </c>
      <c r="J23" s="6">
        <v>-0.1</v>
      </c>
      <c r="K23" s="4" t="s">
        <v>15</v>
      </c>
    </row>
    <row r="24">
      <c r="A24" s="3">
        <v>46046.0</v>
      </c>
      <c r="B24" s="4" t="s">
        <v>40</v>
      </c>
      <c r="C24" s="5">
        <v>0.608</v>
      </c>
      <c r="D24" s="5">
        <v>-116.0</v>
      </c>
      <c r="E24" s="7">
        <v>-108.0</v>
      </c>
      <c r="F24" s="4">
        <f t="shared" si="1"/>
        <v>8</v>
      </c>
      <c r="G24" s="6">
        <v>0.1</v>
      </c>
      <c r="H24" s="4" t="s">
        <v>12</v>
      </c>
      <c r="I24" s="4">
        <v>0.19</v>
      </c>
      <c r="J24" s="6">
        <v>0.09</v>
      </c>
      <c r="K24" s="4" t="s">
        <v>15</v>
      </c>
    </row>
    <row r="25">
      <c r="A25" s="3">
        <v>46046.0</v>
      </c>
      <c r="B25" s="4" t="s">
        <v>41</v>
      </c>
      <c r="C25" s="5">
        <v>0.509</v>
      </c>
      <c r="D25" s="5">
        <v>106.0</v>
      </c>
      <c r="E25" s="6">
        <f>+105</f>
        <v>105</v>
      </c>
      <c r="F25" s="4">
        <f t="shared" si="1"/>
        <v>-1</v>
      </c>
      <c r="G25" s="6">
        <v>0.1</v>
      </c>
      <c r="H25" s="4" t="s">
        <v>17</v>
      </c>
      <c r="I25" s="4">
        <v>0.0</v>
      </c>
      <c r="J25" s="6">
        <v>-0.1</v>
      </c>
      <c r="K25" s="4" t="s">
        <v>42</v>
      </c>
    </row>
    <row r="26">
      <c r="A26" s="3">
        <v>46046.0</v>
      </c>
      <c r="B26" s="4" t="s">
        <v>43</v>
      </c>
      <c r="C26" s="5">
        <v>0.7238</v>
      </c>
      <c r="D26" s="5">
        <v>-221.0</v>
      </c>
      <c r="E26" s="7">
        <v>-169.0</v>
      </c>
      <c r="F26" s="4">
        <f t="shared" si="1"/>
        <v>52</v>
      </c>
      <c r="G26" s="6">
        <v>0.1</v>
      </c>
      <c r="H26" s="4" t="s">
        <v>17</v>
      </c>
      <c r="I26" s="4">
        <v>0.0</v>
      </c>
      <c r="J26" s="6">
        <v>-0.1</v>
      </c>
      <c r="K26" s="4" t="s">
        <v>44</v>
      </c>
    </row>
    <row r="27">
      <c r="A27" s="3">
        <v>46046.0</v>
      </c>
      <c r="B27" s="4" t="s">
        <v>45</v>
      </c>
      <c r="C27" s="5">
        <v>0.821</v>
      </c>
      <c r="D27" s="5">
        <v>-349.0</v>
      </c>
      <c r="E27" s="7">
        <v>-323.0</v>
      </c>
      <c r="F27" s="4">
        <f t="shared" si="1"/>
        <v>26</v>
      </c>
      <c r="G27" s="6">
        <v>0.1</v>
      </c>
      <c r="H27" s="4" t="s">
        <v>12</v>
      </c>
      <c r="I27" s="4">
        <v>0.13</v>
      </c>
      <c r="J27" s="6">
        <v>0.03</v>
      </c>
      <c r="K27" s="4" t="s">
        <v>42</v>
      </c>
    </row>
    <row r="28">
      <c r="A28" s="3">
        <v>46046.0</v>
      </c>
      <c r="B28" s="4" t="s">
        <v>46</v>
      </c>
      <c r="C28" s="5">
        <v>0.571</v>
      </c>
      <c r="D28" s="5">
        <v>-114.0</v>
      </c>
      <c r="E28" s="7">
        <v>-115.0</v>
      </c>
      <c r="F28" s="4">
        <f t="shared" si="1"/>
        <v>-1</v>
      </c>
      <c r="G28" s="6">
        <v>0.1</v>
      </c>
      <c r="H28" s="4" t="s">
        <v>17</v>
      </c>
      <c r="I28" s="4">
        <v>0.0</v>
      </c>
      <c r="J28" s="6">
        <v>-0.1</v>
      </c>
      <c r="K28" s="4" t="s">
        <v>42</v>
      </c>
    </row>
    <row r="29">
      <c r="A29" s="3">
        <v>46046.0</v>
      </c>
      <c r="B29" s="4" t="s">
        <v>47</v>
      </c>
      <c r="C29" s="5">
        <v>0.466</v>
      </c>
      <c r="D29" s="5">
        <v>132.0</v>
      </c>
      <c r="E29" s="6">
        <f>+140</f>
        <v>140</v>
      </c>
      <c r="F29" s="4">
        <f t="shared" si="1"/>
        <v>8</v>
      </c>
      <c r="G29" s="6">
        <v>0.1</v>
      </c>
      <c r="H29" s="4" t="s">
        <v>17</v>
      </c>
      <c r="I29" s="4">
        <v>0.0</v>
      </c>
      <c r="J29" s="6">
        <v>-0.1</v>
      </c>
      <c r="K29" s="4" t="s">
        <v>44</v>
      </c>
    </row>
  </sheetData>
  <autoFilter ref="$A$1:$K$29"/>
  <drawing r:id="rId1"/>
</worksheet>
</file>